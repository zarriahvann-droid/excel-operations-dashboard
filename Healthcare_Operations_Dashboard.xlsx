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rriahvann/Desktop/"/>
    </mc:Choice>
  </mc:AlternateContent>
  <xr:revisionPtr revIDLastSave="0" documentId="13_ncr:1_{3A884209-22D6-C54E-9ADD-A61497519B71}" xr6:coauthVersionLast="47" xr6:coauthVersionMax="47" xr10:uidLastSave="{00000000-0000-0000-0000-000000000000}"/>
  <bookViews>
    <workbookView xWindow="0" yWindow="600" windowWidth="28800" windowHeight="17400" activeTab="1" xr2:uid="{85C1AB54-880E-5548-B6D8-BCDEFB5351D5}"/>
  </bookViews>
  <sheets>
    <sheet name="Sheet2" sheetId="2" r:id="rId1"/>
    <sheet name="Sheet1" sheetId="1" r:id="rId2"/>
  </sheets>
  <calcPr calcId="18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1" l="1"/>
  <c r="C16" i="1"/>
  <c r="C15" i="1"/>
</calcChain>
</file>

<file path=xl/sharedStrings.xml><?xml version="1.0" encoding="utf-8"?>
<sst xmlns="http://schemas.openxmlformats.org/spreadsheetml/2006/main" count="57" uniqueCount="28">
  <si>
    <t>Date</t>
  </si>
  <si>
    <t>Department</t>
  </si>
  <si>
    <t>Test</t>
  </si>
  <si>
    <t>Status</t>
  </si>
  <si>
    <t>Reason</t>
  </si>
  <si>
    <t>TAT(mins)</t>
  </si>
  <si>
    <t>ER</t>
  </si>
  <si>
    <t>Troponin</t>
  </si>
  <si>
    <t>On Time</t>
  </si>
  <si>
    <t>None</t>
  </si>
  <si>
    <t>ICU</t>
  </si>
  <si>
    <t>CBC</t>
  </si>
  <si>
    <t>Delayed</t>
  </si>
  <si>
    <t>Staffing</t>
  </si>
  <si>
    <t>CMP</t>
  </si>
  <si>
    <t>Instrument Delay</t>
  </si>
  <si>
    <t>Surgery</t>
  </si>
  <si>
    <t>BMP</t>
  </si>
  <si>
    <t>High Volume</t>
  </si>
  <si>
    <t>Specimen Issue</t>
  </si>
  <si>
    <t>Target (mins)</t>
  </si>
  <si>
    <t>Average Turnaround Time</t>
  </si>
  <si>
    <t>Delayed Tests</t>
  </si>
  <si>
    <t>On-Time Percentage</t>
  </si>
  <si>
    <t>Row Labels</t>
  </si>
  <si>
    <t>Grand Total</t>
  </si>
  <si>
    <t>Average of TAT(mins)</t>
  </si>
  <si>
    <t>Average Turnaround Time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</si>
</sst>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[Healthcare_Operations_Dashboard.xlsx]Sheet2!PivotTable1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Healthcare Operations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ER</c:v>
                </c:pt>
                <c:pt idx="1">
                  <c:v>ICU</c:v>
                </c:pt>
                <c:pt idx="2">
                  <c:v>Surgery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29.4</c:v>
                </c:pt>
                <c:pt idx="1">
                  <c:v>41.333333333333336</c:v>
                </c:pt>
                <c:pt idx="2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F-C74E-A716-C8E5A0C41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529216"/>
        <c:axId val="1367675712"/>
      </c:barChart>
      <c:catAx>
        <c:axId val="135452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675712"/>
        <c:crosses val="autoZero"/>
        <c:auto val="1"/>
        <c:lblAlgn val="ctr"/>
        <c:lblOffset val="100"/>
        <c:noMultiLvlLbl val="0"/>
      </c:catAx>
      <c:valAx>
        <c:axId val="13676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2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317500</xdr:colOff>
      <xdr:row>3</xdr:row>
      <xdr:rowOff>6350</xdr:rowOff>
    </xdr:from>
    <xdr:to>
      <xdr:col>12</xdr:col>
      <xdr:colOff>139700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C5564B-8656-ACFE-36FB-AD8994DB4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rriah Vann" refreshedDate="46157.644695023148" createdVersion="8" refreshedVersion="8" minRefreshableVersion="3" recordCount="10" xr:uid="{3C4AA847-C2B6-B042-B481-71F1458A0F12}">
  <cacheSource type="worksheet">
    <worksheetSource name="Table1"/>
  </cacheSource>
  <cacheFields count="7">
    <cacheField name="Date" numFmtId="14">
      <sharedItems containsSemiMixedTypes="0" containsNonDate="0" containsDate="1" containsString="0" minDate="2026-05-01T00:00:00" maxDate="2026-05-05T00:00:00"/>
    </cacheField>
    <cacheField name="Department" numFmtId="0">
      <sharedItems count="3">
        <s v="ER"/>
        <s v="ICU"/>
        <s v="Surgery"/>
      </sharedItems>
    </cacheField>
    <cacheField name="Test" numFmtId="0">
      <sharedItems/>
    </cacheField>
    <cacheField name="TAT(mins)" numFmtId="0">
      <sharedItems containsSemiMixedTypes="0" containsString="0" containsNumber="1" containsInteger="1" minValue="25" maxValue="50"/>
    </cacheField>
    <cacheField name="Target (mins)" numFmtId="0">
      <sharedItems containsSemiMixedTypes="0" containsString="0" containsNumber="1" containsInteger="1" minValue="30" maxValue="30"/>
    </cacheField>
    <cacheField name="Status" numFmtId="0">
      <sharedItems/>
    </cacheField>
    <cacheField name="Rea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5-01T00:00:00"/>
    <x v="0"/>
    <s v="Troponin"/>
    <n v="28"/>
    <n v="30"/>
    <s v="On Time"/>
    <s v="None"/>
  </r>
  <r>
    <d v="2026-05-01T00:00:00"/>
    <x v="1"/>
    <s v="CBC"/>
    <n v="45"/>
    <n v="30"/>
    <s v="Delayed"/>
    <s v="Staffing"/>
  </r>
  <r>
    <d v="2026-05-01T00:00:00"/>
    <x v="0"/>
    <s v="CMP"/>
    <n v="35"/>
    <n v="30"/>
    <s v="Delayed"/>
    <s v="Instrument Delay"/>
  </r>
  <r>
    <d v="2026-05-02T00:00:00"/>
    <x v="2"/>
    <s v="Troponin"/>
    <n v="25"/>
    <n v="30"/>
    <s v="On Time"/>
    <s v="None"/>
  </r>
  <r>
    <d v="2026-05-02T00:00:00"/>
    <x v="1"/>
    <s v="BMP"/>
    <n v="50"/>
    <n v="30"/>
    <s v="Delayed"/>
    <s v="High Volume"/>
  </r>
  <r>
    <d v="2026-05-02T00:00:00"/>
    <x v="0"/>
    <s v="CBC"/>
    <n v="27"/>
    <n v="30"/>
    <s v="On Time"/>
    <s v="None"/>
  </r>
  <r>
    <d v="2026-05-03T00:00:00"/>
    <x v="0"/>
    <s v="Troponin"/>
    <n v="31"/>
    <n v="30"/>
    <s v="Delayed"/>
    <s v="Specimen Issue"/>
  </r>
  <r>
    <d v="2026-05-03T00:00:00"/>
    <x v="1"/>
    <s v="CMP"/>
    <n v="29"/>
    <n v="30"/>
    <s v="On Time"/>
    <s v="None"/>
  </r>
  <r>
    <d v="2026-05-03T00:00:00"/>
    <x v="2"/>
    <s v="BMP"/>
    <n v="40"/>
    <n v="30"/>
    <s v="Delayed"/>
    <s v="Staffing"/>
  </r>
  <r>
    <d v="2026-05-04T00:00:00"/>
    <x v="0"/>
    <s v="CBC"/>
    <n v="26"/>
    <n v="30"/>
    <s v="On Time"/>
    <s v="No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1B3D2-6C2C-2842-8CE6-9E9AA9E4195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7"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AT(mins)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11CDA8-FE2A-754C-BF1E-81CF2CFF8490}" name="Table1" displayName="Table1" ref="A1:G11" totalsRowShown="0">
  <autoFilter ref="A1:G11" xr:uid="{8011CDA8-FE2A-754C-BF1E-81CF2CFF8490}"/>
  <tableColumns count="7">
    <tableColumn id="1" xr3:uid="{88421CEF-65B5-3A4B-B402-5FCCE54A3CFA}" name="Date" dataDxfId="0"/>
    <tableColumn id="2" xr3:uid="{9A948696-0491-5E4A-BE5A-64613091180A}" name="Department"/>
    <tableColumn id="3" xr3:uid="{80A5E34C-3AFF-3F45-9BEE-312B64EB248E}" name="Test"/>
    <tableColumn id="4" xr3:uid="{596D2268-AC97-8E4D-978A-5A8D9C70E26C}" name="TAT(mins)"/>
    <tableColumn id="5" xr3:uid="{9DDD6D26-0E1A-E144-98A6-1C1CD78C5A5F}" name="Target (mins)"/>
    <tableColumn id="6" xr3:uid="{9AE8878C-E98F-8D40-A932-0E503CC90403}" name="Status"/>
    <tableColumn id="7" xr3:uid="{8D2F034F-D323-3743-82FA-A06192E6C96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8599-0DCE-5549-ABDC-34E777E8B3C7}">
  <dimension ref="A3:G19"/>
  <sheetViews>
    <sheetView workbookViewId="0">
      <selection activeCell="B16" sqref="B16"/>
    </sheetView>
  </sheetViews>
  <sheetFormatPr baseColWidth="10" defaultRowHeight="16" x14ac:dyDescent="0.2"/>
  <cols>
    <col min="1" max="1" width="13" bestFit="1" customWidth="1"/>
    <col min="2" max="2" width="18.6640625" bestFit="1" customWidth="1"/>
  </cols>
  <sheetData>
    <row r="3" spans="1:2" x14ac:dyDescent="0.2">
      <c r="A3" s="4" t="s">
        <v>24</v>
      </c>
      <c r="B3" t="s">
        <v>26</v>
      </c>
    </row>
    <row r="4" spans="1:2" x14ac:dyDescent="0.2">
      <c r="A4" s="5" t="s">
        <v>6</v>
      </c>
      <c r="B4" s="6">
        <v>29.4</v>
      </c>
    </row>
    <row r="5" spans="1:2" x14ac:dyDescent="0.2">
      <c r="A5" s="5" t="s">
        <v>10</v>
      </c>
      <c r="B5" s="6">
        <v>41.333333333333336</v>
      </c>
    </row>
    <row r="6" spans="1:2" x14ac:dyDescent="0.2">
      <c r="A6" s="5" t="s">
        <v>16</v>
      </c>
      <c r="B6" s="6">
        <v>32.5</v>
      </c>
    </row>
    <row r="7" spans="1:2" x14ac:dyDescent="0.2">
      <c r="A7" s="5" t="s">
        <v>25</v>
      </c>
      <c r="B7" s="6">
        <v>33.6</v>
      </c>
    </row>
    <row r="18" spans="5:7" ht="17" x14ac:dyDescent="0.25">
      <c r="E18" s="7"/>
    </row>
    <row r="19" spans="5:7" ht="29" x14ac:dyDescent="0.35">
      <c r="G19" s="8" t="s">
        <v>27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651D-0073-FC45-A053-59003D62349A}">
  <dimension ref="A1:G17"/>
  <sheetViews>
    <sheetView tabSelected="1" workbookViewId="0">
      <selection activeCell="G22" sqref="G22"/>
    </sheetView>
  </sheetViews>
  <sheetFormatPr baseColWidth="10" defaultRowHeight="16" x14ac:dyDescent="0.2"/>
  <cols>
    <col min="2" max="2" width="13.5" customWidth="1"/>
    <col min="4" max="4" width="11.83203125" customWidth="1"/>
    <col min="5" max="5" width="14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5</v>
      </c>
      <c r="E1" t="s">
        <v>20</v>
      </c>
      <c r="F1" t="s">
        <v>3</v>
      </c>
      <c r="G1" t="s">
        <v>4</v>
      </c>
    </row>
    <row r="2" spans="1:7" x14ac:dyDescent="0.2">
      <c r="A2" s="1">
        <v>45047</v>
      </c>
      <c r="B2" t="s">
        <v>6</v>
      </c>
      <c r="C2" t="s">
        <v>7</v>
      </c>
      <c r="D2">
        <v>28</v>
      </c>
      <c r="E2">
        <v>30</v>
      </c>
      <c r="F2" t="s">
        <v>8</v>
      </c>
      <c r="G2" t="s">
        <v>9</v>
      </c>
    </row>
    <row r="3" spans="1:7" x14ac:dyDescent="0.2">
      <c r="A3" s="1">
        <v>45048</v>
      </c>
      <c r="B3" t="s">
        <v>10</v>
      </c>
      <c r="C3" t="s">
        <v>11</v>
      </c>
      <c r="D3">
        <v>45</v>
      </c>
      <c r="E3">
        <v>30</v>
      </c>
      <c r="F3" t="s">
        <v>12</v>
      </c>
      <c r="G3" t="s">
        <v>13</v>
      </c>
    </row>
    <row r="4" spans="1:7" x14ac:dyDescent="0.2">
      <c r="A4" s="1">
        <v>45049</v>
      </c>
      <c r="B4" t="s">
        <v>6</v>
      </c>
      <c r="C4" t="s">
        <v>14</v>
      </c>
      <c r="D4">
        <v>35</v>
      </c>
      <c r="E4">
        <v>30</v>
      </c>
      <c r="F4" t="s">
        <v>12</v>
      </c>
      <c r="G4" t="s">
        <v>15</v>
      </c>
    </row>
    <row r="5" spans="1:7" x14ac:dyDescent="0.2">
      <c r="A5" s="1">
        <v>45050</v>
      </c>
      <c r="B5" t="s">
        <v>16</v>
      </c>
      <c r="C5" t="s">
        <v>7</v>
      </c>
      <c r="D5">
        <v>25</v>
      </c>
      <c r="E5">
        <v>30</v>
      </c>
      <c r="F5" t="s">
        <v>8</v>
      </c>
      <c r="G5" t="s">
        <v>9</v>
      </c>
    </row>
    <row r="6" spans="1:7" x14ac:dyDescent="0.2">
      <c r="A6" s="1">
        <v>45051</v>
      </c>
      <c r="B6" t="s">
        <v>10</v>
      </c>
      <c r="C6" t="s">
        <v>17</v>
      </c>
      <c r="D6">
        <v>50</v>
      </c>
      <c r="E6">
        <v>30</v>
      </c>
      <c r="F6" t="s">
        <v>12</v>
      </c>
      <c r="G6" t="s">
        <v>18</v>
      </c>
    </row>
    <row r="7" spans="1:7" x14ac:dyDescent="0.2">
      <c r="A7" s="1">
        <v>45052</v>
      </c>
      <c r="B7" t="s">
        <v>6</v>
      </c>
      <c r="C7" t="s">
        <v>11</v>
      </c>
      <c r="D7">
        <v>27</v>
      </c>
      <c r="E7">
        <v>30</v>
      </c>
      <c r="F7" t="s">
        <v>8</v>
      </c>
      <c r="G7" t="s">
        <v>9</v>
      </c>
    </row>
    <row r="8" spans="1:7" x14ac:dyDescent="0.2">
      <c r="A8" s="1">
        <v>45053</v>
      </c>
      <c r="B8" t="s">
        <v>6</v>
      </c>
      <c r="C8" t="s">
        <v>7</v>
      </c>
      <c r="D8">
        <v>31</v>
      </c>
      <c r="E8">
        <v>30</v>
      </c>
      <c r="F8" t="s">
        <v>12</v>
      </c>
      <c r="G8" t="s">
        <v>19</v>
      </c>
    </row>
    <row r="9" spans="1:7" x14ac:dyDescent="0.2">
      <c r="A9" s="1">
        <v>45054</v>
      </c>
      <c r="B9" t="s">
        <v>10</v>
      </c>
      <c r="C9" t="s">
        <v>14</v>
      </c>
      <c r="D9">
        <v>29</v>
      </c>
      <c r="E9">
        <v>30</v>
      </c>
      <c r="F9" t="s">
        <v>8</v>
      </c>
      <c r="G9" t="s">
        <v>9</v>
      </c>
    </row>
    <row r="10" spans="1:7" x14ac:dyDescent="0.2">
      <c r="A10" s="1">
        <v>45055</v>
      </c>
      <c r="B10" t="s">
        <v>16</v>
      </c>
      <c r="C10" t="s">
        <v>17</v>
      </c>
      <c r="D10">
        <v>40</v>
      </c>
      <c r="E10">
        <v>30</v>
      </c>
      <c r="F10" t="s">
        <v>12</v>
      </c>
      <c r="G10" t="s">
        <v>13</v>
      </c>
    </row>
    <row r="11" spans="1:7" x14ac:dyDescent="0.2">
      <c r="A11" s="1">
        <v>45056</v>
      </c>
      <c r="B11" t="s">
        <v>6</v>
      </c>
      <c r="C11" t="s">
        <v>11</v>
      </c>
      <c r="D11">
        <v>26</v>
      </c>
      <c r="E11">
        <v>30</v>
      </c>
      <c r="F11" t="s">
        <v>8</v>
      </c>
      <c r="G11" t="s">
        <v>9</v>
      </c>
    </row>
    <row r="14" spans="1:7" x14ac:dyDescent="0.2">
      <c r="A14" s="2"/>
      <c r="B14" s="2"/>
    </row>
    <row r="15" spans="1:7" x14ac:dyDescent="0.2">
      <c r="A15" t="s">
        <v>21</v>
      </c>
      <c r="C15">
        <f>AVERAGE(D2:D11)</f>
        <v>33.6</v>
      </c>
    </row>
    <row r="16" spans="1:7" x14ac:dyDescent="0.2">
      <c r="A16" t="s">
        <v>22</v>
      </c>
      <c r="C16">
        <f>COUNTIF(F2:F11,"Delayed")</f>
        <v>5</v>
      </c>
    </row>
    <row r="17" spans="1:3" x14ac:dyDescent="0.2">
      <c r="A17" t="s">
        <v>23</v>
      </c>
      <c r="C17" s="3">
        <f>COUNTIF(F2:F11,"On Time")/COUNTA(F2:F11)</f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Vann, Zarriah</dc:creator>
  <cp:lastModifiedBy>Vann, Zarriah</cp:lastModifiedBy>
  <dcterms:created xsi:type="dcterms:W3CDTF">2026-05-15T19:20:14Z</dcterms:created>
  <dcterms:modified xsi:type="dcterms:W3CDTF">2026-05-15T19:52:00Z</dcterms:modified>
</cp:coreProperties>
</file>